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s DNS" sheetId="1" state="visible" r:id="rId3"/>
    <sheet name="Pasos" sheetId="2" state="visible" r:id="rId4"/>
    <sheet name="Consulta ICXN" sheetId="3" state="visible" r:id="rId5"/>
  </sheets>
  <definedNames>
    <definedName function="false" hidden="true" localSheetId="0" name="_xlnm._FilterDatabase" vbProcedure="false">'Registros DNS'!$A$5:$H$26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<sst xmlns="http://schemas.openxmlformats.org/spreadsheetml/2006/main" count="230" uniqueCount="107">
  <si>
    <t xml:space="preserve">koalalotiene.com.ar – Zona DNS en Cloudflare</t>
  </si>
  <si>
    <t xml:space="preserve">Fuente: export de zona del 30/09/2026 y captura de Vercel. Columna Estado editable (lista desplegable).</t>
  </si>
  <si>
    <t xml:space="preserve">Progreso</t>
  </si>
  <si>
    <t xml:space="preserve">#</t>
  </si>
  <si>
    <t xml:space="preserve">Acción</t>
  </si>
  <si>
    <t xml:space="preserve">Tipo</t>
  </si>
  <si>
    <t xml:space="preserve">Nombre</t>
  </si>
  <si>
    <t xml:space="preserve">Contenido</t>
  </si>
  <si>
    <t xml:space="preserve">Proxy</t>
  </si>
  <si>
    <t xml:space="preserve">Estado</t>
  </si>
  <si>
    <t xml:space="preserve">Notas</t>
  </si>
  <si>
    <t xml:space="preserve">Borrar</t>
  </si>
  <si>
    <t xml:space="preserve">A</t>
  </si>
  <si>
    <t xml:space="preserve">@</t>
  </si>
  <si>
    <t xml:space="preserve">172.67.172.156</t>
  </si>
  <si>
    <t xml:space="preserve">Proxied</t>
  </si>
  <si>
    <t xml:space="preserve">Pendiente</t>
  </si>
  <si>
    <t xml:space="preserve">IP de Cloudflare del sitio anterior</t>
  </si>
  <si>
    <t xml:space="preserve">104.21.71.250</t>
  </si>
  <si>
    <t xml:space="preserve">AAAA</t>
  </si>
  <si>
    <t xml:space="preserve">2606:4700:3035::ac43:ac9c</t>
  </si>
  <si>
    <t xml:space="preserve">2606:4700:3037::6815:47fa</t>
  </si>
  <si>
    <t xml:space="preserve">www</t>
  </si>
  <si>
    <t xml:space="preserve">Agregar</t>
  </si>
  <si>
    <t xml:space="preserve">CNAME</t>
  </si>
  <si>
    <t xml:space="preserve">16bc395e55b20519.vercel-dns-017.com</t>
  </si>
  <si>
    <t xml:space="preserve">DNS only</t>
  </si>
  <si>
    <t xml:space="preserve">Valor que muestra Vercel para la raíz. Cloudflare lo aplana (CNAME flattening).</t>
  </si>
  <si>
    <t xml:space="preserve">Vercel solo mostró el valor de @. Si para www muestra otro, usar ese.</t>
  </si>
  <si>
    <t xml:space="preserve">Editar</t>
  </si>
  <si>
    <t xml:space="preserve">mail</t>
  </si>
  <si>
    <t xml:space="preserve">icxn-lp.dvrdns.org</t>
  </si>
  <si>
    <t xml:space="preserve">Hoy está proxied: pasar a DNS only. Obligatorio antes de cambiar nameservers.</t>
  </si>
  <si>
    <t xml:space="preserve">webmail</t>
  </si>
  <si>
    <t xml:space="preserve">IP de Cloudflare, no es un servidor de correo</t>
  </si>
  <si>
    <t xml:space="preserve">SUPUESTO: mismo destino que mail. Confirmar con ICXN antes de cargar.</t>
  </si>
  <si>
    <t xml:space="preserve">Dejar</t>
  </si>
  <si>
    <t xml:space="preserve">MX</t>
  </si>
  <si>
    <t xml:space="preserve">10 mail.koalalotiene.com.ar</t>
  </si>
  <si>
    <t xml:space="preserve">No requiere</t>
  </si>
  <si>
    <t xml:space="preserve">Sin cambios</t>
  </si>
  <si>
    <t xml:space="preserve">TXT</t>
  </si>
  <si>
    <t xml:space="preserve">v=spf1 include:outbound.mailhop.org -all</t>
  </si>
  <si>
    <t xml:space="preserve">SPF, sin cambios</t>
  </si>
  <si>
    <t xml:space="preserve">_dmarc</t>
  </si>
  <si>
    <t xml:space="preserve">v=DMARC1; p=none; rua=mailto:soporte@icxn.com.ar; ruf=mailto:soporte@icxn.com.ar; rf=afrf; pct=100</t>
  </si>
  <si>
    <t xml:space="preserve">DMARC, sin cambios</t>
  </si>
  <si>
    <t xml:space="preserve">google-site-verification=RDqYHFnW-GbqJAiqUU4novzlTDH46JOl1y-4uumq-8o</t>
  </si>
  <si>
    <t xml:space="preserve">Verificación de Google, sin cambios</t>
  </si>
  <si>
    <t xml:space="preserve">Pedir a ICXN</t>
  </si>
  <si>
    <t xml:space="preserve">(selector)._domainkey</t>
  </si>
  <si>
    <t xml:space="preserve">Selector y valor a confirmar con ICXN</t>
  </si>
  <si>
    <t xml:space="preserve">No aparece DKIM en el export. Sin DKIM los mails pueden caer en spam.</t>
  </si>
  <si>
    <t xml:space="preserve">Orden recomendado</t>
  </si>
  <si>
    <t xml:space="preserve">Marcar Estado a medida que se avanza.</t>
  </si>
  <si>
    <t xml:space="preserve">Paso</t>
  </si>
  <si>
    <t xml:space="preserve">Dónde</t>
  </si>
  <si>
    <t xml:space="preserve">Detalle</t>
  </si>
  <si>
    <t xml:space="preserve">Cargar y corregir los registros</t>
  </si>
  <si>
    <t xml:space="preserve">Cloudflare</t>
  </si>
  <si>
    <t xml:space="preserve">Ver hoja "Registros DNS". Dejar mail y webmail en DNS only.</t>
  </si>
  <si>
    <t xml:space="preserve">Consultar a ICXN</t>
  </si>
  <si>
    <t xml:space="preserve">soporte@icxn.com.ar</t>
  </si>
  <si>
    <t xml:space="preserve">Destino de webmail y mail, registro DKIM, otros registros necesarios. Ver hoja "Consulta ICXN".</t>
  </si>
  <si>
    <t xml:space="preserve">Completar webmail y DKIM</t>
  </si>
  <si>
    <t xml:space="preserve">Con la respuesta de ICXN.</t>
  </si>
  <si>
    <t xml:space="preserve">Presionar "Continue to activation"</t>
  </si>
  <si>
    <t xml:space="preserve">Después de revisar la tabla de registros.</t>
  </si>
  <si>
    <t xml:space="preserve">Eliminar registro DS si existe (DNSSEC)</t>
  </si>
  <si>
    <t xml:space="preserve">NIC Argentina</t>
  </si>
  <si>
    <t xml:space="preserve">Hacerlo antes de guardar los nameservers; si queda puede dejar el dominio sin resolver.</t>
  </si>
  <si>
    <t xml:space="preserve">Reemplazar nameservers</t>
  </si>
  <si>
    <t xml:space="preserve">Sacar nelly.ns.cloudflare.com y zac.ns.cloudflare.com. Poner braelyn.ns.cloudflare.com y bryce.ns.cloudflare.com.</t>
  </si>
  <si>
    <t xml:space="preserve">Verificar activación</t>
  </si>
  <si>
    <t xml:space="preserve">"Check nameservers". Puede tardar de minutos a unas horas.</t>
  </si>
  <si>
    <t xml:space="preserve">Refrescar dominios</t>
  </si>
  <si>
    <t xml:space="preserve">Vercel</t>
  </si>
  <si>
    <t xml:space="preserve">"Refresh" para koalalotiene.com.ar y www. Ambos deben quedar en Valid Configuration.</t>
  </si>
  <si>
    <t xml:space="preserve">Probar correo y webmail</t>
  </si>
  <si>
    <t xml:space="preserve">Casilla del dominio</t>
  </si>
  <si>
    <t xml:space="preserve">Mail de prueba desde y hacia el dominio; abrir webmail.</t>
  </si>
  <si>
    <t xml:space="preserve">Nameservers</t>
  </si>
  <si>
    <t xml:space="preserve">Situación</t>
  </si>
  <si>
    <t xml:space="preserve">Servidor</t>
  </si>
  <si>
    <t xml:space="preserve">Quitar (actuales en NIC)</t>
  </si>
  <si>
    <t xml:space="preserve">nelly.ns.cloudflare.com</t>
  </si>
  <si>
    <t xml:space="preserve">zac.ns.cloudflare.com</t>
  </si>
  <si>
    <t xml:space="preserve">Poner (asignados a tu zona)</t>
  </si>
  <si>
    <t xml:space="preserve">braelyn.ns.cloudflare.com</t>
  </si>
  <si>
    <t xml:space="preserve">bryce.ns.cloudflare.com</t>
  </si>
  <si>
    <t xml:space="preserve">Nota: si el correo falla tras el cambio, se puede volver atrás poniendo de nuevo nelly y zac.</t>
  </si>
  <si>
    <t xml:space="preserve">Atención: al cambiar nameservers, sitio y correo dependen de lo cargado en Cloudflare. Conviene hacerlo en horario tranquilo.</t>
  </si>
  <si>
    <t xml:space="preserve">Consulta a soporte de ICXN</t>
  </si>
  <si>
    <t xml:space="preserve">Datos que solo ICXN puede confirmar.</t>
  </si>
  <si>
    <t xml:space="preserve">Qué confirmar</t>
  </si>
  <si>
    <t xml:space="preserve">Por qué</t>
  </si>
  <si>
    <t xml:space="preserve">Respuesta de ICXN</t>
  </si>
  <si>
    <t xml:space="preserve">Destino correcto de webmail</t>
  </si>
  <si>
    <t xml:space="preserve">Las IPs actuales son de Cloudflare (proxy); el destino real quedó oculto.</t>
  </si>
  <si>
    <t xml:space="preserve">Destino correcto de mail</t>
  </si>
  <si>
    <t xml:space="preserve">Hoy apunta a icxn-lp.dvrdns.org; confirmar que sigue vigente.</t>
  </si>
  <si>
    <t xml:space="preserve">Registro DKIM (selector y valor TXT)</t>
  </si>
  <si>
    <t xml:space="preserve">No aparece en el export. Sin DKIM los mails pueden caer en spam.</t>
  </si>
  <si>
    <t xml:space="preserve">Otros registros necesarios para el correo</t>
  </si>
  <si>
    <t xml:space="preserve">Por si hay registros que el escaneo no detectó.</t>
  </si>
  <si>
    <t xml:space="preserve">Mensaje para enviar</t>
  </si>
  <si>
    <t xml:space="preserve">Hola, estamos migrando el DNS de koalalotiene.com.ar a Cloudflare. Necesitamos confirmar: 1) el destino correcto para webmail y mail, 2) el registro DKIM (selector y valor TXT), y 3) si hay algún otro registro necesario para el correo del dominio. Gracias.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</si>
</sst>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BE4E4"/>
        <bgColor rgb="FFF2F2F2"/>
      </patternFill>
    </fill>
    <fill>
      <patternFill patternType="solid">
        <fgColor rgb="FFE2F0D9"/>
        <bgColor rgb="FFF2F2F2"/>
      </patternFill>
    </fill>
    <fill>
      <patternFill patternType="solid">
        <fgColor rgb="FFFFF2CC"/>
        <bgColor rgb="FFFBE4E4"/>
      </patternFill>
    </fill>
    <fill>
      <patternFill patternType="solid">
        <fgColor rgb="FFF2F2F2"/>
        <bgColor rgb="FFE2F0D9"/>
      </patternFill>
    </fill>
    <fill>
      <patternFill patternType="solid">
        <fgColor rgb="FFFFFF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BE4E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B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20"/>
    <col collapsed="false" customWidth="true" hidden="false" outlineLevel="0" max="5" min="5" style="0" width="52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5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n">
        <f aca="false">IFERROR(COUNTIF(G6:G26,"Hecho")/(COUNTA(G6:G26)-COUNTIF(G6:G26,"No requiere")),0)</f>
        <v>0</v>
      </c>
      <c r="C3" s="5" t="str">
        <f aca="false">COUNTIF(G6:G26,"Hecho")&amp;" de "&amp;(COUNTA(G6:G26)-COUNTIF(G6:G26,"No requiere"))&amp;" tareas"</f>
        <v>0 de 17 tareas</v>
      </c>
    </row>
    <row r="5" customFormat="false" ht="15" hidden="false" customHeight="false" outlineLevel="0" collapsed="false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</row>
    <row r="6" customFormat="false" ht="15" hidden="false" customHeight="false" outlineLevel="0" collapsed="false">
      <c r="A6" s="7" t="n">
        <v>1</v>
      </c>
      <c r="B6" s="8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7" t="s">
        <v>16</v>
      </c>
      <c r="H6" s="7" t="s">
        <v>17</v>
      </c>
    </row>
    <row r="7" customFormat="false" ht="15" hidden="false" customHeight="false" outlineLevel="0" collapsed="false">
      <c r="A7" s="7" t="n">
        <v>2</v>
      </c>
      <c r="B7" s="8" t="s">
        <v>11</v>
      </c>
      <c r="C7" s="7" t="s">
        <v>12</v>
      </c>
      <c r="D7" s="7" t="s">
        <v>13</v>
      </c>
      <c r="E7" s="7" t="s">
        <v>18</v>
      </c>
      <c r="F7" s="7" t="s">
        <v>15</v>
      </c>
      <c r="G7" s="7" t="s">
        <v>16</v>
      </c>
      <c r="H7" s="7" t="s">
        <v>17</v>
      </c>
    </row>
    <row r="8" customFormat="false" ht="15" hidden="false" customHeight="false" outlineLevel="0" collapsed="false">
      <c r="A8" s="7" t="n">
        <v>3</v>
      </c>
      <c r="B8" s="8" t="s">
        <v>11</v>
      </c>
      <c r="C8" s="7" t="s">
        <v>19</v>
      </c>
      <c r="D8" s="7" t="s">
        <v>13</v>
      </c>
      <c r="E8" s="7" t="s">
        <v>20</v>
      </c>
      <c r="F8" s="7" t="s">
        <v>15</v>
      </c>
      <c r="G8" s="7" t="s">
        <v>16</v>
      </c>
      <c r="H8" s="7" t="s">
        <v>17</v>
      </c>
    </row>
    <row r="9" customFormat="false" ht="15" hidden="false" customHeight="false" outlineLevel="0" collapsed="false">
      <c r="A9" s="7" t="n">
        <v>4</v>
      </c>
      <c r="B9" s="8" t="s">
        <v>11</v>
      </c>
      <c r="C9" s="7" t="s">
        <v>19</v>
      </c>
      <c r="D9" s="7" t="s">
        <v>13</v>
      </c>
      <c r="E9" s="7" t="s">
        <v>21</v>
      </c>
      <c r="F9" s="7" t="s">
        <v>15</v>
      </c>
      <c r="G9" s="7" t="s">
        <v>16</v>
      </c>
      <c r="H9" s="7" t="s">
        <v>17</v>
      </c>
    </row>
    <row r="10" customFormat="false" ht="15" hidden="false" customHeight="false" outlineLevel="0" collapsed="false">
      <c r="A10" s="7" t="n">
        <v>5</v>
      </c>
      <c r="B10" s="8" t="s">
        <v>11</v>
      </c>
      <c r="C10" s="7" t="s">
        <v>12</v>
      </c>
      <c r="D10" s="7" t="s">
        <v>22</v>
      </c>
      <c r="E10" s="7" t="s">
        <v>14</v>
      </c>
      <c r="F10" s="7" t="s">
        <v>15</v>
      </c>
      <c r="G10" s="7" t="s">
        <v>16</v>
      </c>
      <c r="H10" s="7" t="s">
        <v>17</v>
      </c>
    </row>
    <row r="11" customFormat="false" ht="15" hidden="false" customHeight="false" outlineLevel="0" collapsed="false">
      <c r="A11" s="7" t="n">
        <v>6</v>
      </c>
      <c r="B11" s="8" t="s">
        <v>11</v>
      </c>
      <c r="C11" s="7" t="s">
        <v>12</v>
      </c>
      <c r="D11" s="7" t="s">
        <v>22</v>
      </c>
      <c r="E11" s="7" t="s">
        <v>18</v>
      </c>
      <c r="F11" s="7" t="s">
        <v>15</v>
      </c>
      <c r="G11" s="7" t="s">
        <v>16</v>
      </c>
      <c r="H11" s="7" t="s">
        <v>17</v>
      </c>
    </row>
    <row r="12" customFormat="false" ht="15" hidden="false" customHeight="false" outlineLevel="0" collapsed="false">
      <c r="A12" s="7" t="n">
        <v>7</v>
      </c>
      <c r="B12" s="8" t="s">
        <v>11</v>
      </c>
      <c r="C12" s="7" t="s">
        <v>19</v>
      </c>
      <c r="D12" s="7" t="s">
        <v>22</v>
      </c>
      <c r="E12" s="7" t="s">
        <v>20</v>
      </c>
      <c r="F12" s="7" t="s">
        <v>15</v>
      </c>
      <c r="G12" s="7" t="s">
        <v>16</v>
      </c>
      <c r="H12" s="7" t="s">
        <v>17</v>
      </c>
    </row>
    <row r="13" customFormat="false" ht="15" hidden="false" customHeight="false" outlineLevel="0" collapsed="false">
      <c r="A13" s="7" t="n">
        <v>8</v>
      </c>
      <c r="B13" s="8" t="s">
        <v>11</v>
      </c>
      <c r="C13" s="7" t="s">
        <v>19</v>
      </c>
      <c r="D13" s="7" t="s">
        <v>22</v>
      </c>
      <c r="E13" s="7" t="s">
        <v>21</v>
      </c>
      <c r="F13" s="7" t="s">
        <v>15</v>
      </c>
      <c r="G13" s="7" t="s">
        <v>16</v>
      </c>
      <c r="H13" s="7" t="s">
        <v>17</v>
      </c>
    </row>
    <row r="14" customFormat="false" ht="23.85" hidden="false" customHeight="false" outlineLevel="0" collapsed="false">
      <c r="A14" s="7" t="n">
        <v>9</v>
      </c>
      <c r="B14" s="9" t="s">
        <v>23</v>
      </c>
      <c r="C14" s="7" t="s">
        <v>24</v>
      </c>
      <c r="D14" s="7" t="s">
        <v>13</v>
      </c>
      <c r="E14" s="7" t="s">
        <v>25</v>
      </c>
      <c r="F14" s="7" t="s">
        <v>26</v>
      </c>
      <c r="G14" s="7" t="s">
        <v>16</v>
      </c>
      <c r="H14" s="7" t="s">
        <v>27</v>
      </c>
    </row>
    <row r="15" customFormat="false" ht="15" hidden="false" customHeight="false" outlineLevel="0" collapsed="false">
      <c r="A15" s="7" t="n">
        <v>10</v>
      </c>
      <c r="B15" s="9" t="s">
        <v>23</v>
      </c>
      <c r="C15" s="7" t="s">
        <v>24</v>
      </c>
      <c r="D15" s="7" t="s">
        <v>22</v>
      </c>
      <c r="E15" s="7" t="s">
        <v>25</v>
      </c>
      <c r="F15" s="7" t="s">
        <v>26</v>
      </c>
      <c r="G15" s="7" t="s">
        <v>16</v>
      </c>
      <c r="H15" s="7" t="s">
        <v>28</v>
      </c>
    </row>
    <row r="16" customFormat="false" ht="23.85" hidden="false" customHeight="false" outlineLevel="0" collapsed="false">
      <c r="A16" s="7" t="n">
        <v>11</v>
      </c>
      <c r="B16" s="10" t="s">
        <v>29</v>
      </c>
      <c r="C16" s="7" t="s">
        <v>24</v>
      </c>
      <c r="D16" s="7" t="s">
        <v>30</v>
      </c>
      <c r="E16" s="7" t="s">
        <v>31</v>
      </c>
      <c r="F16" s="7" t="s">
        <v>26</v>
      </c>
      <c r="G16" s="7" t="s">
        <v>16</v>
      </c>
      <c r="H16" s="7" t="s">
        <v>32</v>
      </c>
    </row>
    <row r="17" customFormat="false" ht="15" hidden="false" customHeight="false" outlineLevel="0" collapsed="false">
      <c r="A17" s="7" t="n">
        <v>12</v>
      </c>
      <c r="B17" s="8" t="s">
        <v>11</v>
      </c>
      <c r="C17" s="7" t="s">
        <v>12</v>
      </c>
      <c r="D17" s="7" t="s">
        <v>33</v>
      </c>
      <c r="E17" s="7" t="s">
        <v>14</v>
      </c>
      <c r="F17" s="7" t="s">
        <v>15</v>
      </c>
      <c r="G17" s="7" t="s">
        <v>16</v>
      </c>
      <c r="H17" s="7" t="s">
        <v>34</v>
      </c>
    </row>
    <row r="18" customFormat="false" ht="15" hidden="false" customHeight="false" outlineLevel="0" collapsed="false">
      <c r="A18" s="7" t="n">
        <v>13</v>
      </c>
      <c r="B18" s="8" t="s">
        <v>11</v>
      </c>
      <c r="C18" s="7" t="s">
        <v>12</v>
      </c>
      <c r="D18" s="7" t="s">
        <v>33</v>
      </c>
      <c r="E18" s="7" t="s">
        <v>18</v>
      </c>
      <c r="F18" s="7" t="s">
        <v>15</v>
      </c>
      <c r="G18" s="7" t="s">
        <v>16</v>
      </c>
      <c r="H18" s="7" t="s">
        <v>34</v>
      </c>
    </row>
    <row r="19" customFormat="false" ht="15" hidden="false" customHeight="false" outlineLevel="0" collapsed="false">
      <c r="A19" s="7" t="n">
        <v>14</v>
      </c>
      <c r="B19" s="8" t="s">
        <v>11</v>
      </c>
      <c r="C19" s="7" t="s">
        <v>19</v>
      </c>
      <c r="D19" s="7" t="s">
        <v>33</v>
      </c>
      <c r="E19" s="7" t="s">
        <v>20</v>
      </c>
      <c r="F19" s="7" t="s">
        <v>15</v>
      </c>
      <c r="G19" s="7" t="s">
        <v>16</v>
      </c>
      <c r="H19" s="7" t="s">
        <v>34</v>
      </c>
    </row>
    <row r="20" customFormat="false" ht="15" hidden="false" customHeight="false" outlineLevel="0" collapsed="false">
      <c r="A20" s="7" t="n">
        <v>15</v>
      </c>
      <c r="B20" s="8" t="s">
        <v>11</v>
      </c>
      <c r="C20" s="7" t="s">
        <v>19</v>
      </c>
      <c r="D20" s="7" t="s">
        <v>33</v>
      </c>
      <c r="E20" s="7" t="s">
        <v>21</v>
      </c>
      <c r="F20" s="7" t="s">
        <v>15</v>
      </c>
      <c r="G20" s="7" t="s">
        <v>16</v>
      </c>
      <c r="H20" s="7" t="s">
        <v>34</v>
      </c>
    </row>
    <row r="21" customFormat="false" ht="23.85" hidden="false" customHeight="false" outlineLevel="0" collapsed="false">
      <c r="A21" s="7" t="n">
        <v>16</v>
      </c>
      <c r="B21" s="9" t="s">
        <v>23</v>
      </c>
      <c r="C21" s="7" t="s">
        <v>24</v>
      </c>
      <c r="D21" s="7" t="s">
        <v>33</v>
      </c>
      <c r="E21" s="7" t="s">
        <v>31</v>
      </c>
      <c r="F21" s="7" t="s">
        <v>26</v>
      </c>
      <c r="G21" s="7" t="s">
        <v>16</v>
      </c>
      <c r="H21" s="7" t="s">
        <v>35</v>
      </c>
    </row>
    <row r="22" customFormat="false" ht="15" hidden="false" customHeight="false" outlineLevel="0" collapsed="false">
      <c r="A22" s="7" t="n">
        <v>17</v>
      </c>
      <c r="B22" s="11" t="s">
        <v>36</v>
      </c>
      <c r="C22" s="7" t="s">
        <v>37</v>
      </c>
      <c r="D22" s="7" t="s">
        <v>13</v>
      </c>
      <c r="E22" s="7" t="s">
        <v>38</v>
      </c>
      <c r="F22" s="7" t="s">
        <v>26</v>
      </c>
      <c r="G22" s="7" t="s">
        <v>39</v>
      </c>
      <c r="H22" s="7" t="s">
        <v>40</v>
      </c>
    </row>
    <row r="23" customFormat="false" ht="15" hidden="false" customHeight="false" outlineLevel="0" collapsed="false">
      <c r="A23" s="7" t="n">
        <v>18</v>
      </c>
      <c r="B23" s="11" t="s">
        <v>36</v>
      </c>
      <c r="C23" s="7" t="s">
        <v>41</v>
      </c>
      <c r="D23" s="7" t="s">
        <v>13</v>
      </c>
      <c r="E23" s="7" t="s">
        <v>42</v>
      </c>
      <c r="F23" s="7" t="s">
        <v>26</v>
      </c>
      <c r="G23" s="7" t="s">
        <v>39</v>
      </c>
      <c r="H23" s="7" t="s">
        <v>43</v>
      </c>
    </row>
    <row r="24" customFormat="false" ht="23.85" hidden="false" customHeight="false" outlineLevel="0" collapsed="false">
      <c r="A24" s="7" t="n">
        <v>19</v>
      </c>
      <c r="B24" s="11" t="s">
        <v>36</v>
      </c>
      <c r="C24" s="7" t="s">
        <v>41</v>
      </c>
      <c r="D24" s="7" t="s">
        <v>44</v>
      </c>
      <c r="E24" s="7" t="s">
        <v>45</v>
      </c>
      <c r="F24" s="7" t="s">
        <v>26</v>
      </c>
      <c r="G24" s="7" t="s">
        <v>39</v>
      </c>
      <c r="H24" s="7" t="s">
        <v>46</v>
      </c>
    </row>
    <row r="25" customFormat="false" ht="23.85" hidden="false" customHeight="false" outlineLevel="0" collapsed="false">
      <c r="A25" s="7" t="n">
        <v>20</v>
      </c>
      <c r="B25" s="11" t="s">
        <v>36</v>
      </c>
      <c r="C25" s="7" t="s">
        <v>41</v>
      </c>
      <c r="D25" s="7" t="s">
        <v>13</v>
      </c>
      <c r="E25" s="7" t="s">
        <v>47</v>
      </c>
      <c r="F25" s="7" t="s">
        <v>26</v>
      </c>
      <c r="G25" s="7" t="s">
        <v>39</v>
      </c>
      <c r="H25" s="7" t="s">
        <v>48</v>
      </c>
    </row>
    <row r="26" customFormat="false" ht="23.85" hidden="false" customHeight="false" outlineLevel="0" collapsed="false">
      <c r="A26" s="7" t="n">
        <v>21</v>
      </c>
      <c r="B26" s="10" t="s">
        <v>49</v>
      </c>
      <c r="C26" s="7" t="s">
        <v>41</v>
      </c>
      <c r="D26" s="7" t="s">
        <v>50</v>
      </c>
      <c r="E26" s="7" t="s">
        <v>51</v>
      </c>
      <c r="F26" s="7" t="s">
        <v>26</v>
      </c>
      <c r="G26" s="7" t="s">
        <v>16</v>
      </c>
      <c r="H26" s="7" t="s">
        <v>52</v>
      </c>
    </row>
  </sheetData>
  <autoFilter ref="A5:H26"/>
  <conditionalFormatting sqref="G6:G26">
    <cfRule type="cellIs" priority="2" operator="equal" aboveAverage="0" equalAverage="0" bottom="0" percent="0" rank="0" text="" dxfId="7">
      <formula>"Hecho"</formula>
    </cfRule>
  </conditionalFormatting>
  <dataValidations count="1">
    <dataValidation allowBlank="false" errorStyle="stop" operator="between" showDropDown="false" showErrorMessage="false" showInputMessage="false" sqref="G6:G26" type="list">
      <formula1>"Pendiente,Hecho,No requiere"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4" min="4" style="0" width="80"/>
    <col collapsed="false" customWidth="true" hidden="false" outlineLevel="0" max="5" min="5" style="0" width="13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6" t="s">
        <v>3</v>
      </c>
      <c r="B4" s="6" t="s">
        <v>55</v>
      </c>
      <c r="C4" s="6" t="s">
        <v>56</v>
      </c>
      <c r="D4" s="6" t="s">
        <v>57</v>
      </c>
      <c r="E4" s="6" t="s">
        <v>9</v>
      </c>
    </row>
    <row r="5" customFormat="false" ht="15" hidden="false" customHeight="false" outlineLevel="0" collapsed="false">
      <c r="A5" s="7" t="n">
        <v>1</v>
      </c>
      <c r="B5" s="7" t="s">
        <v>58</v>
      </c>
      <c r="C5" s="7" t="s">
        <v>59</v>
      </c>
      <c r="D5" s="7" t="s">
        <v>60</v>
      </c>
      <c r="E5" s="7" t="s">
        <v>16</v>
      </c>
    </row>
    <row r="6" customFormat="false" ht="15" hidden="false" customHeight="false" outlineLevel="0" collapsed="false">
      <c r="A6" s="7" t="n">
        <v>2</v>
      </c>
      <c r="B6" s="7" t="s">
        <v>61</v>
      </c>
      <c r="C6" s="7" t="s">
        <v>62</v>
      </c>
      <c r="D6" s="7" t="s">
        <v>63</v>
      </c>
      <c r="E6" s="7" t="s">
        <v>16</v>
      </c>
    </row>
    <row r="7" customFormat="false" ht="15" hidden="false" customHeight="false" outlineLevel="0" collapsed="false">
      <c r="A7" s="7" t="n">
        <v>3</v>
      </c>
      <c r="B7" s="7" t="s">
        <v>64</v>
      </c>
      <c r="C7" s="7" t="s">
        <v>59</v>
      </c>
      <c r="D7" s="7" t="s">
        <v>65</v>
      </c>
      <c r="E7" s="7" t="s">
        <v>16</v>
      </c>
    </row>
    <row r="8" customFormat="false" ht="15" hidden="false" customHeight="false" outlineLevel="0" collapsed="false">
      <c r="A8" s="7" t="n">
        <v>4</v>
      </c>
      <c r="B8" s="7" t="s">
        <v>66</v>
      </c>
      <c r="C8" s="7" t="s">
        <v>59</v>
      </c>
      <c r="D8" s="7" t="s">
        <v>67</v>
      </c>
      <c r="E8" s="7" t="s">
        <v>16</v>
      </c>
    </row>
    <row r="9" customFormat="false" ht="15" hidden="false" customHeight="false" outlineLevel="0" collapsed="false">
      <c r="A9" s="7" t="n">
        <v>5</v>
      </c>
      <c r="B9" s="7" t="s">
        <v>68</v>
      </c>
      <c r="C9" s="7" t="s">
        <v>69</v>
      </c>
      <c r="D9" s="7" t="s">
        <v>70</v>
      </c>
      <c r="E9" s="7" t="s">
        <v>16</v>
      </c>
    </row>
    <row r="10" customFormat="false" ht="23.85" hidden="false" customHeight="false" outlineLevel="0" collapsed="false">
      <c r="A10" s="7" t="n">
        <v>6</v>
      </c>
      <c r="B10" s="7" t="s">
        <v>71</v>
      </c>
      <c r="C10" s="7" t="s">
        <v>69</v>
      </c>
      <c r="D10" s="7" t="s">
        <v>72</v>
      </c>
      <c r="E10" s="7" t="s">
        <v>16</v>
      </c>
    </row>
    <row r="11" customFormat="false" ht="15" hidden="false" customHeight="false" outlineLevel="0" collapsed="false">
      <c r="A11" s="7" t="n">
        <v>7</v>
      </c>
      <c r="B11" s="7" t="s">
        <v>73</v>
      </c>
      <c r="C11" s="7" t="s">
        <v>59</v>
      </c>
      <c r="D11" s="7" t="s">
        <v>74</v>
      </c>
      <c r="E11" s="7" t="s">
        <v>16</v>
      </c>
    </row>
    <row r="12" customFormat="false" ht="15" hidden="false" customHeight="false" outlineLevel="0" collapsed="false">
      <c r="A12" s="7" t="n">
        <v>8</v>
      </c>
      <c r="B12" s="7" t="s">
        <v>75</v>
      </c>
      <c r="C12" s="7" t="s">
        <v>76</v>
      </c>
      <c r="D12" s="7" t="s">
        <v>77</v>
      </c>
      <c r="E12" s="7" t="s">
        <v>16</v>
      </c>
    </row>
    <row r="13" customFormat="false" ht="15" hidden="false" customHeight="false" outlineLevel="0" collapsed="false">
      <c r="A13" s="7" t="n">
        <v>9</v>
      </c>
      <c r="B13" s="7" t="s">
        <v>78</v>
      </c>
      <c r="C13" s="7" t="s">
        <v>79</v>
      </c>
      <c r="D13" s="7" t="s">
        <v>80</v>
      </c>
      <c r="E13" s="7" t="s">
        <v>16</v>
      </c>
    </row>
    <row r="15" customFormat="false" ht="15" hidden="false" customHeight="false" outlineLevel="0" collapsed="false">
      <c r="A15" s="12" t="s">
        <v>81</v>
      </c>
    </row>
    <row r="16" customFormat="false" ht="15" hidden="false" customHeight="false" outlineLevel="0" collapsed="false">
      <c r="A16" s="6"/>
      <c r="B16" s="6" t="s">
        <v>82</v>
      </c>
      <c r="C16" s="6" t="s">
        <v>83</v>
      </c>
      <c r="D16" s="6"/>
      <c r="E16" s="6"/>
    </row>
    <row r="17" customFormat="false" ht="15" hidden="false" customHeight="false" outlineLevel="0" collapsed="false">
      <c r="A17" s="13"/>
      <c r="B17" s="13" t="s">
        <v>84</v>
      </c>
      <c r="C17" s="13" t="s">
        <v>85</v>
      </c>
    </row>
    <row r="18" customFormat="false" ht="15" hidden="false" customHeight="false" outlineLevel="0" collapsed="false">
      <c r="A18" s="13"/>
      <c r="B18" s="13" t="s">
        <v>84</v>
      </c>
      <c r="C18" s="13" t="s">
        <v>86</v>
      </c>
    </row>
    <row r="19" customFormat="false" ht="15" hidden="false" customHeight="false" outlineLevel="0" collapsed="false">
      <c r="A19" s="13"/>
      <c r="B19" s="13" t="s">
        <v>87</v>
      </c>
      <c r="C19" s="13" t="s">
        <v>88</v>
      </c>
    </row>
    <row r="20" customFormat="false" ht="15" hidden="false" customHeight="false" outlineLevel="0" collapsed="false">
      <c r="A20" s="13"/>
      <c r="B20" s="13" t="s">
        <v>87</v>
      </c>
      <c r="C20" s="13" t="s">
        <v>89</v>
      </c>
    </row>
    <row r="22" customFormat="false" ht="15" hidden="false" customHeight="false" outlineLevel="0" collapsed="false">
      <c r="A22" s="2" t="s">
        <v>90</v>
      </c>
    </row>
    <row r="23" customFormat="false" ht="15" hidden="false" customHeight="false" outlineLevel="0" collapsed="false">
      <c r="A23" s="2" t="s">
        <v>91</v>
      </c>
    </row>
  </sheetData>
  <conditionalFormatting sqref="E5:E13">
    <cfRule type="cellIs" priority="2" operator="equal" aboveAverage="0" equalAverage="0" bottom="0" percent="0" rank="0" text="" dxfId="7">
      <formula>"Hecho"</formula>
    </cfRule>
  </conditionalFormatting>
  <dataValidations count="1">
    <dataValidation allowBlank="false" errorStyle="stop" operator="between" showDropDown="false" showErrorMessage="false" showInputMessage="false" sqref="E5:E13" type="list">
      <formula1>"Pendiente,Hecho"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62"/>
    <col collapsed="false" customWidth="true" hidden="false" outlineLevel="0" max="4" min="4" style="0" width="46"/>
  </cols>
  <sheetData>
    <row r="1" customFormat="false" ht="17.35" hidden="false" customHeight="false" outlineLevel="0" collapsed="false">
      <c r="A1" s="1" t="s">
        <v>92</v>
      </c>
    </row>
    <row r="2" customFormat="false" ht="15" hidden="false" customHeight="false" outlineLevel="0" collapsed="false">
      <c r="A2" s="2" t="s">
        <v>93</v>
      </c>
    </row>
    <row r="4" customFormat="false" ht="15" hidden="false" customHeight="false" outlineLevel="0" collapsed="false">
      <c r="A4" s="6" t="s">
        <v>3</v>
      </c>
      <c r="B4" s="6" t="s">
        <v>94</v>
      </c>
      <c r="C4" s="6" t="s">
        <v>95</v>
      </c>
      <c r="D4" s="6" t="s">
        <v>96</v>
      </c>
    </row>
    <row r="5" customFormat="false" ht="15" hidden="false" customHeight="false" outlineLevel="0" collapsed="false">
      <c r="A5" s="7" t="n">
        <v>1</v>
      </c>
      <c r="B5" s="7" t="s">
        <v>97</v>
      </c>
      <c r="C5" s="7" t="s">
        <v>98</v>
      </c>
      <c r="D5" s="14"/>
    </row>
    <row r="6" customFormat="false" ht="15" hidden="false" customHeight="false" outlineLevel="0" collapsed="false">
      <c r="A6" s="7" t="n">
        <v>2</v>
      </c>
      <c r="B6" s="7" t="s">
        <v>99</v>
      </c>
      <c r="C6" s="7" t="s">
        <v>100</v>
      </c>
      <c r="D6" s="14"/>
    </row>
    <row r="7" customFormat="false" ht="15" hidden="false" customHeight="false" outlineLevel="0" collapsed="false">
      <c r="A7" s="7" t="n">
        <v>3</v>
      </c>
      <c r="B7" s="7" t="s">
        <v>101</v>
      </c>
      <c r="C7" s="7" t="s">
        <v>102</v>
      </c>
      <c r="D7" s="14"/>
    </row>
    <row r="8" customFormat="false" ht="15" hidden="false" customHeight="false" outlineLevel="0" collapsed="false">
      <c r="A8" s="7" t="n">
        <v>4</v>
      </c>
      <c r="B8" s="7" t="s">
        <v>103</v>
      </c>
      <c r="C8" s="7" t="s">
        <v>104</v>
      </c>
      <c r="D8" s="14"/>
    </row>
    <row r="10" customFormat="false" ht="15" hidden="false" customHeight="false" outlineLevel="0" collapsed="false">
      <c r="A10" s="12" t="s">
        <v>105</v>
      </c>
    </row>
    <row r="11" customFormat="false" ht="61.5" hidden="false" customHeight="true" outlineLevel="0" collapsed="false">
      <c r="A11" s="15" t="s">
        <v>106</v>
      </c>
      <c r="B11" s="15"/>
      <c r="C11" s="15"/>
      <c r="D11" s="15"/>
    </row>
  </sheetData>
  <mergeCells count="1"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2026-09-30T20:47:07Z</dcterms:created>
  <dc:creator>openpyxl</dc:creator>
  <dc:description/>
  <dc:language>en-US</dc:language>
  <cp:lastModifiedBy/>
  <dcterms:modified xsi:type="dcterms:W3CDTF">2026-09-30T20:47:07Z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